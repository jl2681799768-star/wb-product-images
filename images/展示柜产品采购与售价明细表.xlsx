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<sst xmlns="http://schemas.openxmlformats.org/spreadsheetml/2006/main" count="144" uniqueCount="61">
  <si>
    <t>产品名</t>
  </si>
  <si>
    <t>娃娃进价</t>
  </si>
  <si>
    <t>数量</t>
  </si>
  <si>
    <t>运费</t>
  </si>
  <si>
    <t>总价+打包4块</t>
  </si>
  <si>
    <t>展示柜采购价</t>
  </si>
  <si>
    <t>产品总采购价</t>
  </si>
  <si>
    <t>娃娃单个重量（qk）</t>
  </si>
  <si>
    <t>重量</t>
  </si>
  <si>
    <t>物流重量(KG)</t>
  </si>
  <si>
    <t>快递总物流重量(KG)</t>
  </si>
  <si>
    <t>物流处理费</t>
  </si>
  <si>
    <t>物流续重</t>
  </si>
  <si>
    <t>类目</t>
  </si>
  <si>
    <t>平台佣金</t>
  </si>
  <si>
    <t>毛利</t>
  </si>
  <si>
    <t>售价（我们要卖的价格）</t>
  </si>
  <si>
    <t>快递费</t>
  </si>
  <si>
    <t>利润</t>
  </si>
  <si>
    <t>原价</t>
  </si>
  <si>
    <t>卖家商品编号</t>
  </si>
  <si>
    <t>长(cm)</t>
  </si>
  <si>
    <t>宽(cm)</t>
  </si>
  <si>
    <t>高(cm)</t>
  </si>
  <si>
    <t>体积</t>
  </si>
  <si>
    <t>双层实木款【30*11*23cm】</t>
  </si>
  <si>
    <t>展示柜</t>
  </si>
  <si>
    <t>WDC-30</t>
  </si>
  <si>
    <t>双层实木加大款【43*14.5*33cm】</t>
  </si>
  <si>
    <t>WDC-43</t>
  </si>
  <si>
    <t>双层实木加大款带阶梯【43*14.5*33cm】</t>
  </si>
  <si>
    <t>WDC-43-ST</t>
  </si>
  <si>
    <t>小号原木色</t>
  </si>
  <si>
    <t>BBDC-30-WOD-STD</t>
  </si>
  <si>
    <t>大号原木色</t>
  </si>
  <si>
    <t>BBDC-43-WOD-STD</t>
  </si>
  <si>
    <t>大号做旧色带阶梯</t>
  </si>
  <si>
    <t>BBDC-43-VIN-STP</t>
  </si>
  <si>
    <t>大号原木色带阶梯</t>
  </si>
  <si>
    <t>BBDC-43-WOD-STP</t>
  </si>
  <si>
    <t>双层实木款【30*11*23cm】带8娃娃</t>
  </si>
  <si>
    <t>WDC-30-1</t>
  </si>
  <si>
    <t>双层实木加大款【43*14.5*33cm】带15娃娃</t>
  </si>
  <si>
    <t>WDC-43-1</t>
  </si>
  <si>
    <t>双层实木加大款带阶梯【43*14.5*33cm】带15娃娃</t>
  </si>
  <si>
    <t>WDC-43-ST-1</t>
  </si>
  <si>
    <t>小号原木色带8娃娃</t>
  </si>
  <si>
    <t>BBDC-30-WOD-STD-1</t>
  </si>
  <si>
    <t>大号原木色带15娃娃</t>
  </si>
  <si>
    <t>BBDC-43-WOD-STD-1</t>
  </si>
  <si>
    <t>大号做旧色带阶梯带15娃娃</t>
  </si>
  <si>
    <t>BBDC-43-VIN-STP-1</t>
  </si>
  <si>
    <t>大号原木色带阶梯带15娃娃</t>
  </si>
  <si>
    <t>BBDC-43-WOD-STP-1</t>
  </si>
  <si>
    <t>采购价</t>
  </si>
  <si>
    <t>上架</t>
  </si>
  <si>
    <t>跨境售价</t>
  </si>
  <si>
    <t>1688链接</t>
  </si>
  <si>
    <t>参考链接</t>
  </si>
  <si>
    <t>备注</t>
  </si>
  <si>
    <t>已上架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</si>
</sst>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00_);[Red]\(0.0000\)"/>
  </numFmts>
  <fonts count="25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b/>
      <sz val="10"/>
      <color rgb="FF08090C"/>
      <name val="Microsoft YaHei"/>
      <charset val="134"/>
    </font>
    <font>
      <sz val="10"/>
      <color theme="1"/>
      <name val="Microsoft YaHei"/>
      <charset val="134"/>
    </font>
    <font>
      <b/>
      <sz val="10"/>
      <color rgb="FF000000"/>
      <name val="Microsoft YaHei"/>
      <charset val="134"/>
    </font>
    <font>
      <b/>
      <sz val="11"/>
      <color rgb="FF08090C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7" fontId="4" fillId="5" borderId="1" xfId="0" applyNumberFormat="1" applyFont="1" applyFill="1" applyBorder="1" applyAlignment="1">
      <alignment horizontal="center" vertical="center" wrapText="1"/>
    </xf>
    <xf numFmtId="7" fontId="4" fillId="3" borderId="1" xfId="0" applyNumberFormat="1" applyFont="1" applyFill="1" applyBorder="1" applyAlignment="1">
      <alignment horizontal="center" vertical="center" wrapText="1"/>
    </xf>
    <xf numFmtId="7" fontId="4" fillId="6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workbookViewId="0">
      <selection activeCell="W23" sqref="W23"/>
    </sheetView>
  </sheetViews>
  <sheetFormatPr defaultColWidth="8.88888888888889" defaultRowHeight="14.4"/>
  <cols>
    <col min="1" max="1" width="49.6018518518519" customWidth="1"/>
    <col min="2" max="2" width="13.1574074074074" customWidth="1"/>
    <col min="3" max="4" width="9.08333333333333" customWidth="1"/>
    <col min="5" max="5" width="17.787037037037" customWidth="1"/>
    <col min="6" max="7" width="17.2314814814815" customWidth="1"/>
    <col min="8" max="8" width="25.712962962963" customWidth="1"/>
    <col min="9" max="9" width="9.08333333333333" customWidth="1"/>
    <col min="10" max="10" width="17.4166666666667" customWidth="1"/>
    <col min="11" max="11" width="25.5277777777778" customWidth="1"/>
    <col min="12" max="12" width="15.1944444444444" customWidth="1"/>
    <col min="13" max="13" width="13.1574074074074" customWidth="1"/>
    <col min="14" max="14" width="10.5648148148148" customWidth="1"/>
    <col min="15" max="15" width="13.1574074074074" customWidth="1"/>
    <col min="16" max="16" width="9.08333333333333" customWidth="1"/>
    <col min="17" max="17" width="14.7777777777778" customWidth="1"/>
    <col min="18" max="18" width="11.1203703703704" customWidth="1"/>
    <col min="19" max="20" width="9.08333333333333" customWidth="1"/>
    <col min="21" max="21" width="26.8240740740741" customWidth="1"/>
    <col min="22" max="25" width="11.4907407407407" customWidth="1"/>
  </cols>
  <sheetData>
    <row r="1" ht="39" customHeight="1" spans="1: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3" t="s">
        <v>21</v>
      </c>
      <c r="W1" s="23" t="s">
        <v>22</v>
      </c>
      <c r="X1" s="23" t="s">
        <v>23</v>
      </c>
      <c r="Y1" s="24" t="s">
        <v>24</v>
      </c>
    </row>
    <row r="2" ht="22.5" customHeight="1" spans="1:25">
      <c r="A2" s="8" t="s">
        <v>25</v>
      </c>
      <c r="B2" s="8"/>
      <c r="C2" s="8"/>
      <c r="D2" s="8"/>
      <c r="E2" s="8"/>
      <c r="F2" s="20">
        <v>25</v>
      </c>
      <c r="G2" s="20">
        <v>25</v>
      </c>
      <c r="H2" s="20"/>
      <c r="I2" s="20"/>
      <c r="J2" s="20">
        <v>1.35</v>
      </c>
      <c r="K2" s="20">
        <v>1.35</v>
      </c>
      <c r="L2" s="10">
        <f>IF(K2&lt;=0.3,3,8)</f>
        <v>8</v>
      </c>
      <c r="M2" s="10">
        <f>IF(K2&lt;=0.3,61,45)</f>
        <v>45</v>
      </c>
      <c r="N2" s="10" t="s">
        <v>26</v>
      </c>
      <c r="O2" s="11">
        <v>0.1</v>
      </c>
      <c r="P2" s="12">
        <v>0.4</v>
      </c>
      <c r="Q2" s="13">
        <f>(G2+L2+M2*K2)/(1-O2-P2)</f>
        <v>187.5</v>
      </c>
      <c r="R2" s="10">
        <f>G2*L2+K2</f>
        <v>201.35</v>
      </c>
      <c r="S2" s="25">
        <f>P2*O2</f>
        <v>0.04</v>
      </c>
      <c r="T2" s="13">
        <f>Q2*2</f>
        <v>375</v>
      </c>
      <c r="U2" s="17" t="s">
        <v>27</v>
      </c>
      <c r="V2" s="18">
        <v>36.3</v>
      </c>
      <c r="W2" s="18">
        <v>30.9</v>
      </c>
      <c r="X2" s="18">
        <v>20.3</v>
      </c>
      <c r="Y2" s="19">
        <f>(V2*W2*X2)/1000000</f>
        <v>0.022769901</v>
      </c>
    </row>
    <row r="3" ht="22.5" customHeight="1" spans="1:25">
      <c r="A3" s="8" t="s">
        <v>28</v>
      </c>
      <c r="B3" s="8"/>
      <c r="C3" s="8"/>
      <c r="D3" s="8"/>
      <c r="E3" s="8"/>
      <c r="F3" s="20">
        <v>46</v>
      </c>
      <c r="G3" s="20">
        <v>46</v>
      </c>
      <c r="H3" s="20"/>
      <c r="I3" s="20"/>
      <c r="J3" s="20">
        <v>2.7</v>
      </c>
      <c r="K3" s="20">
        <v>2.7</v>
      </c>
      <c r="L3" s="10">
        <f t="shared" ref="L3:L15" si="0">IF(K3&lt;=0.3,3,8)</f>
        <v>8</v>
      </c>
      <c r="M3" s="10">
        <f t="shared" ref="M3:M15" si="1">IF(K3&lt;=0.3,61,45)</f>
        <v>45</v>
      </c>
      <c r="N3" s="10" t="s">
        <v>26</v>
      </c>
      <c r="O3" s="11">
        <v>0.1</v>
      </c>
      <c r="P3" s="12">
        <v>0.4</v>
      </c>
      <c r="Q3" s="13">
        <f t="shared" ref="Q3:Q15" si="2">(G3+L3+M3*K3)/(1-O3-P3)</f>
        <v>351</v>
      </c>
      <c r="R3" s="10">
        <f t="shared" ref="R3:R15" si="3">G3*L3+K3</f>
        <v>370.7</v>
      </c>
      <c r="S3" s="25">
        <f t="shared" ref="S3:S15" si="4">P3*O3</f>
        <v>0.04</v>
      </c>
      <c r="T3" s="13">
        <f t="shared" ref="T3:T15" si="5">Q3*2</f>
        <v>702</v>
      </c>
      <c r="U3" s="8" t="s">
        <v>29</v>
      </c>
      <c r="V3" s="20">
        <v>40</v>
      </c>
      <c r="W3" s="20">
        <v>20</v>
      </c>
      <c r="X3" s="20">
        <v>30</v>
      </c>
      <c r="Y3" s="19">
        <f t="shared" ref="Y3:Y15" si="6">(V3*W3*X3)/1000000</f>
        <v>0.024</v>
      </c>
    </row>
    <row r="4" ht="22.5" customHeight="1" spans="1:25">
      <c r="A4" s="8" t="s">
        <v>30</v>
      </c>
      <c r="B4" s="8"/>
      <c r="C4" s="8"/>
      <c r="D4" s="8"/>
      <c r="E4" s="8"/>
      <c r="F4" s="20">
        <v>52</v>
      </c>
      <c r="G4" s="20">
        <v>52</v>
      </c>
      <c r="H4" s="20"/>
      <c r="I4" s="20"/>
      <c r="J4" s="20">
        <v>2.7</v>
      </c>
      <c r="K4" s="20">
        <v>2.7</v>
      </c>
      <c r="L4" s="10">
        <f t="shared" si="0"/>
        <v>8</v>
      </c>
      <c r="M4" s="10">
        <f t="shared" si="1"/>
        <v>45</v>
      </c>
      <c r="N4" s="10" t="s">
        <v>26</v>
      </c>
      <c r="O4" s="11">
        <v>0.1</v>
      </c>
      <c r="P4" s="12">
        <v>0.4</v>
      </c>
      <c r="Q4" s="13">
        <f t="shared" si="2"/>
        <v>363</v>
      </c>
      <c r="R4" s="10">
        <f t="shared" si="3"/>
        <v>418.7</v>
      </c>
      <c r="S4" s="25">
        <f t="shared" si="4"/>
        <v>0.04</v>
      </c>
      <c r="T4" s="13">
        <f t="shared" si="5"/>
        <v>726</v>
      </c>
      <c r="U4" s="8" t="s">
        <v>31</v>
      </c>
      <c r="V4" s="20">
        <v>40</v>
      </c>
      <c r="W4" s="20">
        <v>20</v>
      </c>
      <c r="X4" s="20">
        <v>30</v>
      </c>
      <c r="Y4" s="19">
        <f t="shared" si="6"/>
        <v>0.024</v>
      </c>
    </row>
    <row r="5" ht="22.5" customHeight="1" spans="1:25">
      <c r="A5" s="8" t="s">
        <v>32</v>
      </c>
      <c r="B5" s="8"/>
      <c r="C5" s="8"/>
      <c r="D5" s="8"/>
      <c r="E5" s="8"/>
      <c r="F5" s="20">
        <v>18</v>
      </c>
      <c r="G5" s="20">
        <v>18</v>
      </c>
      <c r="H5" s="20"/>
      <c r="I5" s="20"/>
      <c r="J5" s="20">
        <v>1.6</v>
      </c>
      <c r="K5" s="20">
        <v>1.6</v>
      </c>
      <c r="L5" s="10">
        <f t="shared" si="0"/>
        <v>8</v>
      </c>
      <c r="M5" s="10">
        <f t="shared" si="1"/>
        <v>45</v>
      </c>
      <c r="N5" s="10" t="s">
        <v>26</v>
      </c>
      <c r="O5" s="11">
        <v>0.1</v>
      </c>
      <c r="P5" s="12">
        <v>0.4</v>
      </c>
      <c r="Q5" s="13">
        <f t="shared" si="2"/>
        <v>196</v>
      </c>
      <c r="R5" s="10">
        <f t="shared" si="3"/>
        <v>145.6</v>
      </c>
      <c r="S5" s="25">
        <f t="shared" si="4"/>
        <v>0.04</v>
      </c>
      <c r="T5" s="13">
        <f t="shared" si="5"/>
        <v>392</v>
      </c>
      <c r="U5" s="8" t="s">
        <v>33</v>
      </c>
      <c r="V5" s="20">
        <v>25</v>
      </c>
      <c r="W5" s="20">
        <v>13.5</v>
      </c>
      <c r="X5" s="20">
        <v>32</v>
      </c>
      <c r="Y5" s="19">
        <f t="shared" si="6"/>
        <v>0.0108</v>
      </c>
    </row>
    <row r="6" ht="22.5" customHeight="1" spans="1:25">
      <c r="A6" s="8" t="s">
        <v>34</v>
      </c>
      <c r="B6" s="8"/>
      <c r="C6" s="8"/>
      <c r="D6" s="8"/>
      <c r="E6" s="8"/>
      <c r="F6" s="20">
        <v>38</v>
      </c>
      <c r="G6" s="20">
        <v>38</v>
      </c>
      <c r="H6" s="20"/>
      <c r="I6" s="20"/>
      <c r="J6" s="20">
        <v>3.1</v>
      </c>
      <c r="K6" s="20">
        <v>3.1</v>
      </c>
      <c r="L6" s="10">
        <f t="shared" si="0"/>
        <v>8</v>
      </c>
      <c r="M6" s="10">
        <f t="shared" si="1"/>
        <v>45</v>
      </c>
      <c r="N6" s="10" t="s">
        <v>26</v>
      </c>
      <c r="O6" s="11">
        <v>0.1</v>
      </c>
      <c r="P6" s="12">
        <v>0.4</v>
      </c>
      <c r="Q6" s="13">
        <f t="shared" si="2"/>
        <v>371</v>
      </c>
      <c r="R6" s="10">
        <f t="shared" si="3"/>
        <v>307.1</v>
      </c>
      <c r="S6" s="25">
        <f t="shared" si="4"/>
        <v>0.04</v>
      </c>
      <c r="T6" s="13">
        <f t="shared" si="5"/>
        <v>742</v>
      </c>
      <c r="U6" s="8" t="s">
        <v>35</v>
      </c>
      <c r="V6" s="20">
        <v>37</v>
      </c>
      <c r="W6" s="20">
        <v>20</v>
      </c>
      <c r="X6" s="20">
        <v>48</v>
      </c>
      <c r="Y6" s="19">
        <f t="shared" si="6"/>
        <v>0.03552</v>
      </c>
    </row>
    <row r="7" ht="22.5" customHeight="1" spans="1:25">
      <c r="A7" s="8" t="s">
        <v>36</v>
      </c>
      <c r="B7" s="8"/>
      <c r="C7" s="8"/>
      <c r="D7" s="8"/>
      <c r="E7" s="8"/>
      <c r="F7" s="20">
        <v>48</v>
      </c>
      <c r="G7" s="20">
        <v>48</v>
      </c>
      <c r="H7" s="20"/>
      <c r="I7" s="20"/>
      <c r="J7" s="20">
        <v>3.4</v>
      </c>
      <c r="K7" s="20">
        <v>3.4</v>
      </c>
      <c r="L7" s="10">
        <f t="shared" si="0"/>
        <v>8</v>
      </c>
      <c r="M7" s="10">
        <f t="shared" si="1"/>
        <v>45</v>
      </c>
      <c r="N7" s="10" t="s">
        <v>26</v>
      </c>
      <c r="O7" s="11">
        <v>0.1</v>
      </c>
      <c r="P7" s="12">
        <v>0.4</v>
      </c>
      <c r="Q7" s="13">
        <f t="shared" si="2"/>
        <v>418</v>
      </c>
      <c r="R7" s="10">
        <f t="shared" si="3"/>
        <v>387.4</v>
      </c>
      <c r="S7" s="25">
        <f t="shared" si="4"/>
        <v>0.04</v>
      </c>
      <c r="T7" s="13">
        <f t="shared" si="5"/>
        <v>836</v>
      </c>
      <c r="U7" s="8" t="s">
        <v>37</v>
      </c>
      <c r="V7" s="20">
        <v>37</v>
      </c>
      <c r="W7" s="20">
        <v>20</v>
      </c>
      <c r="X7" s="20">
        <v>48</v>
      </c>
      <c r="Y7" s="19">
        <f t="shared" si="6"/>
        <v>0.03552</v>
      </c>
    </row>
    <row r="8" ht="22.5" customHeight="1" spans="1:25">
      <c r="A8" s="8" t="s">
        <v>38</v>
      </c>
      <c r="B8" s="8"/>
      <c r="C8" s="8"/>
      <c r="D8" s="8"/>
      <c r="E8" s="8"/>
      <c r="F8" s="20">
        <v>48</v>
      </c>
      <c r="G8" s="20">
        <v>48</v>
      </c>
      <c r="H8" s="20"/>
      <c r="I8" s="20"/>
      <c r="J8" s="20">
        <v>3.4</v>
      </c>
      <c r="K8" s="20">
        <v>3.4</v>
      </c>
      <c r="L8" s="10">
        <f t="shared" si="0"/>
        <v>8</v>
      </c>
      <c r="M8" s="10">
        <f t="shared" si="1"/>
        <v>45</v>
      </c>
      <c r="N8" s="10" t="s">
        <v>26</v>
      </c>
      <c r="O8" s="11">
        <v>0.1</v>
      </c>
      <c r="P8" s="12">
        <v>0.4</v>
      </c>
      <c r="Q8" s="13">
        <f t="shared" si="2"/>
        <v>418</v>
      </c>
      <c r="R8" s="10">
        <f t="shared" si="3"/>
        <v>387.4</v>
      </c>
      <c r="S8" s="25">
        <f t="shared" si="4"/>
        <v>0.04</v>
      </c>
      <c r="T8" s="13">
        <f t="shared" si="5"/>
        <v>836</v>
      </c>
      <c r="U8" s="8" t="s">
        <v>39</v>
      </c>
      <c r="V8" s="20">
        <v>37</v>
      </c>
      <c r="W8" s="20">
        <v>20</v>
      </c>
      <c r="X8" s="20">
        <v>48</v>
      </c>
      <c r="Y8" s="19">
        <f t="shared" si="6"/>
        <v>0.03552</v>
      </c>
    </row>
    <row r="9" ht="22.5" customHeight="1" spans="1:25">
      <c r="A9" s="8" t="s">
        <v>40</v>
      </c>
      <c r="B9" s="20">
        <v>3.4</v>
      </c>
      <c r="C9" s="20">
        <v>8</v>
      </c>
      <c r="D9" s="20">
        <v>5</v>
      </c>
      <c r="E9" s="20">
        <f>B9*C9+D9+4</f>
        <v>36.2</v>
      </c>
      <c r="F9" s="20">
        <v>25</v>
      </c>
      <c r="G9" s="20">
        <f>F9+E9</f>
        <v>61.2</v>
      </c>
      <c r="H9" s="20">
        <v>0.02</v>
      </c>
      <c r="I9" s="20">
        <f>H9*C9</f>
        <v>0.16</v>
      </c>
      <c r="J9" s="20">
        <v>1.35</v>
      </c>
      <c r="K9" s="20">
        <f>I9+J9</f>
        <v>1.51</v>
      </c>
      <c r="L9" s="10">
        <f t="shared" si="0"/>
        <v>8</v>
      </c>
      <c r="M9" s="10">
        <f t="shared" si="1"/>
        <v>45</v>
      </c>
      <c r="N9" s="10" t="s">
        <v>26</v>
      </c>
      <c r="O9" s="11">
        <v>0.1</v>
      </c>
      <c r="P9" s="12">
        <v>0.4</v>
      </c>
      <c r="Q9" s="13">
        <f t="shared" si="2"/>
        <v>274.3</v>
      </c>
      <c r="R9" s="10">
        <f t="shared" si="3"/>
        <v>491.11</v>
      </c>
      <c r="S9" s="25">
        <f t="shared" si="4"/>
        <v>0.04</v>
      </c>
      <c r="T9" s="13">
        <f t="shared" si="5"/>
        <v>548.6</v>
      </c>
      <c r="U9" s="8" t="s">
        <v>41</v>
      </c>
      <c r="V9" s="20">
        <v>36.3</v>
      </c>
      <c r="W9" s="20">
        <v>30.9</v>
      </c>
      <c r="X9" s="20">
        <v>20.3</v>
      </c>
      <c r="Y9" s="19">
        <f t="shared" si="6"/>
        <v>0.022769901</v>
      </c>
    </row>
    <row r="10" ht="22.5" customHeight="1" spans="1:25">
      <c r="A10" s="8" t="s">
        <v>42</v>
      </c>
      <c r="B10" s="20">
        <v>3.4</v>
      </c>
      <c r="C10" s="20">
        <v>15</v>
      </c>
      <c r="D10" s="20">
        <v>5</v>
      </c>
      <c r="E10" s="20">
        <f t="shared" ref="E10:E15" si="7">B10*C10+D10+4</f>
        <v>60</v>
      </c>
      <c r="F10" s="20">
        <v>46</v>
      </c>
      <c r="G10" s="20">
        <f t="shared" ref="G10:G15" si="8">F10+E10</f>
        <v>106</v>
      </c>
      <c r="H10" s="20">
        <v>0.02</v>
      </c>
      <c r="I10" s="20">
        <f t="shared" ref="I10:I15" si="9">H10*C10</f>
        <v>0.3</v>
      </c>
      <c r="J10" s="20">
        <v>2.7</v>
      </c>
      <c r="K10" s="20">
        <f t="shared" ref="K10:K15" si="10">I10+J10</f>
        <v>3</v>
      </c>
      <c r="L10" s="10">
        <f t="shared" si="0"/>
        <v>8</v>
      </c>
      <c r="M10" s="10">
        <f t="shared" si="1"/>
        <v>45</v>
      </c>
      <c r="N10" s="10" t="s">
        <v>26</v>
      </c>
      <c r="O10" s="11">
        <v>0.1</v>
      </c>
      <c r="P10" s="12">
        <v>0.4</v>
      </c>
      <c r="Q10" s="13">
        <f t="shared" si="2"/>
        <v>498</v>
      </c>
      <c r="R10" s="10">
        <f t="shared" si="3"/>
        <v>851</v>
      </c>
      <c r="S10" s="25">
        <f t="shared" si="4"/>
        <v>0.04</v>
      </c>
      <c r="T10" s="13">
        <f t="shared" si="5"/>
        <v>996</v>
      </c>
      <c r="U10" s="8" t="s">
        <v>43</v>
      </c>
      <c r="V10" s="20">
        <v>40</v>
      </c>
      <c r="W10" s="20">
        <v>20</v>
      </c>
      <c r="X10" s="20">
        <v>30</v>
      </c>
      <c r="Y10" s="19">
        <f t="shared" si="6"/>
        <v>0.024</v>
      </c>
    </row>
    <row r="11" ht="22.5" customHeight="1" spans="1:25">
      <c r="A11" s="8" t="s">
        <v>44</v>
      </c>
      <c r="B11" s="20">
        <v>3.4</v>
      </c>
      <c r="C11" s="20">
        <v>15</v>
      </c>
      <c r="D11" s="20">
        <v>5</v>
      </c>
      <c r="E11" s="20">
        <f t="shared" si="7"/>
        <v>60</v>
      </c>
      <c r="F11" s="20">
        <v>52</v>
      </c>
      <c r="G11" s="20">
        <f t="shared" si="8"/>
        <v>112</v>
      </c>
      <c r="H11" s="20">
        <v>0.02</v>
      </c>
      <c r="I11" s="20">
        <f t="shared" si="9"/>
        <v>0.3</v>
      </c>
      <c r="J11" s="20">
        <v>2.7</v>
      </c>
      <c r="K11" s="20">
        <f t="shared" si="10"/>
        <v>3</v>
      </c>
      <c r="L11" s="10">
        <f t="shared" si="0"/>
        <v>8</v>
      </c>
      <c r="M11" s="10">
        <f t="shared" si="1"/>
        <v>45</v>
      </c>
      <c r="N11" s="10" t="s">
        <v>26</v>
      </c>
      <c r="O11" s="11">
        <v>0.1</v>
      </c>
      <c r="P11" s="12">
        <v>0.4</v>
      </c>
      <c r="Q11" s="13">
        <f t="shared" si="2"/>
        <v>510</v>
      </c>
      <c r="R11" s="10">
        <f t="shared" si="3"/>
        <v>899</v>
      </c>
      <c r="S11" s="25">
        <f t="shared" si="4"/>
        <v>0.04</v>
      </c>
      <c r="T11" s="13">
        <f t="shared" si="5"/>
        <v>1020</v>
      </c>
      <c r="U11" s="8" t="s">
        <v>45</v>
      </c>
      <c r="V11" s="20">
        <v>40</v>
      </c>
      <c r="W11" s="20">
        <v>20</v>
      </c>
      <c r="X11" s="20">
        <v>30</v>
      </c>
      <c r="Y11" s="19">
        <f t="shared" si="6"/>
        <v>0.024</v>
      </c>
    </row>
    <row r="12" ht="22.5" customHeight="1" spans="1:25">
      <c r="A12" s="8" t="s">
        <v>46</v>
      </c>
      <c r="B12" s="20">
        <v>3.4</v>
      </c>
      <c r="C12" s="20">
        <v>8</v>
      </c>
      <c r="D12" s="20">
        <v>5</v>
      </c>
      <c r="E12" s="20">
        <f t="shared" si="7"/>
        <v>36.2</v>
      </c>
      <c r="F12" s="20">
        <v>18</v>
      </c>
      <c r="G12" s="20">
        <f t="shared" si="8"/>
        <v>54.2</v>
      </c>
      <c r="H12" s="20">
        <v>0.02</v>
      </c>
      <c r="I12" s="20">
        <f t="shared" si="9"/>
        <v>0.16</v>
      </c>
      <c r="J12" s="20">
        <v>1.6</v>
      </c>
      <c r="K12" s="20">
        <f t="shared" si="10"/>
        <v>1.76</v>
      </c>
      <c r="L12" s="10">
        <f t="shared" si="0"/>
        <v>8</v>
      </c>
      <c r="M12" s="10">
        <f t="shared" si="1"/>
        <v>45</v>
      </c>
      <c r="N12" s="10" t="s">
        <v>26</v>
      </c>
      <c r="O12" s="11">
        <v>0.1</v>
      </c>
      <c r="P12" s="12">
        <v>0.4</v>
      </c>
      <c r="Q12" s="13">
        <f t="shared" si="2"/>
        <v>282.8</v>
      </c>
      <c r="R12" s="10">
        <f t="shared" si="3"/>
        <v>435.36</v>
      </c>
      <c r="S12" s="25">
        <f t="shared" si="4"/>
        <v>0.04</v>
      </c>
      <c r="T12" s="13">
        <f t="shared" si="5"/>
        <v>565.6</v>
      </c>
      <c r="U12" s="8" t="s">
        <v>47</v>
      </c>
      <c r="V12" s="20">
        <v>25</v>
      </c>
      <c r="W12" s="20">
        <v>13.5</v>
      </c>
      <c r="X12" s="20">
        <v>32</v>
      </c>
      <c r="Y12" s="19">
        <f t="shared" si="6"/>
        <v>0.0108</v>
      </c>
    </row>
    <row r="13" ht="22.5" customHeight="1" spans="1:25">
      <c r="A13" s="8" t="s">
        <v>48</v>
      </c>
      <c r="B13" s="20">
        <v>3.4</v>
      </c>
      <c r="C13" s="20">
        <v>15</v>
      </c>
      <c r="D13" s="20">
        <v>5</v>
      </c>
      <c r="E13" s="20">
        <f t="shared" si="7"/>
        <v>60</v>
      </c>
      <c r="F13" s="20">
        <v>38</v>
      </c>
      <c r="G13" s="20">
        <f t="shared" si="8"/>
        <v>98</v>
      </c>
      <c r="H13" s="20">
        <v>0.02</v>
      </c>
      <c r="I13" s="20">
        <f t="shared" si="9"/>
        <v>0.3</v>
      </c>
      <c r="J13" s="20">
        <v>3.1</v>
      </c>
      <c r="K13" s="20">
        <f t="shared" si="10"/>
        <v>3.4</v>
      </c>
      <c r="L13" s="10">
        <f t="shared" si="0"/>
        <v>8</v>
      </c>
      <c r="M13" s="10">
        <f t="shared" si="1"/>
        <v>45</v>
      </c>
      <c r="N13" s="10" t="s">
        <v>26</v>
      </c>
      <c r="O13" s="11">
        <v>0.1</v>
      </c>
      <c r="P13" s="12">
        <v>0.4</v>
      </c>
      <c r="Q13" s="13">
        <f t="shared" si="2"/>
        <v>518</v>
      </c>
      <c r="R13" s="10">
        <f t="shared" si="3"/>
        <v>787.4</v>
      </c>
      <c r="S13" s="25">
        <f t="shared" si="4"/>
        <v>0.04</v>
      </c>
      <c r="T13" s="13">
        <f t="shared" si="5"/>
        <v>1036</v>
      </c>
      <c r="U13" s="8" t="s">
        <v>49</v>
      </c>
      <c r="V13" s="20">
        <v>37</v>
      </c>
      <c r="W13" s="20">
        <v>20</v>
      </c>
      <c r="X13" s="20">
        <v>48</v>
      </c>
      <c r="Y13" s="19">
        <f t="shared" si="6"/>
        <v>0.03552</v>
      </c>
    </row>
    <row r="14" ht="22.5" customHeight="1" spans="1:25">
      <c r="A14" s="8" t="s">
        <v>50</v>
      </c>
      <c r="B14" s="20">
        <v>3.4</v>
      </c>
      <c r="C14" s="20">
        <v>15</v>
      </c>
      <c r="D14" s="20">
        <v>5</v>
      </c>
      <c r="E14" s="20">
        <f t="shared" si="7"/>
        <v>60</v>
      </c>
      <c r="F14" s="20">
        <v>48</v>
      </c>
      <c r="G14" s="20">
        <f t="shared" si="8"/>
        <v>108</v>
      </c>
      <c r="H14" s="20">
        <v>0.02</v>
      </c>
      <c r="I14" s="20">
        <f t="shared" si="9"/>
        <v>0.3</v>
      </c>
      <c r="J14" s="20">
        <v>3.4</v>
      </c>
      <c r="K14" s="20">
        <f t="shared" si="10"/>
        <v>3.7</v>
      </c>
      <c r="L14" s="10">
        <f t="shared" si="0"/>
        <v>8</v>
      </c>
      <c r="M14" s="10">
        <f t="shared" si="1"/>
        <v>45</v>
      </c>
      <c r="N14" s="10" t="s">
        <v>26</v>
      </c>
      <c r="O14" s="11">
        <v>0.1</v>
      </c>
      <c r="P14" s="12">
        <v>0.4</v>
      </c>
      <c r="Q14" s="13">
        <f t="shared" si="2"/>
        <v>565</v>
      </c>
      <c r="R14" s="10">
        <f t="shared" si="3"/>
        <v>867.7</v>
      </c>
      <c r="S14" s="25">
        <f t="shared" si="4"/>
        <v>0.04</v>
      </c>
      <c r="T14" s="13">
        <f t="shared" si="5"/>
        <v>1130</v>
      </c>
      <c r="U14" s="8" t="s">
        <v>51</v>
      </c>
      <c r="V14" s="20">
        <v>37</v>
      </c>
      <c r="W14" s="20">
        <v>20</v>
      </c>
      <c r="X14" s="20">
        <v>48</v>
      </c>
      <c r="Y14" s="19">
        <f t="shared" si="6"/>
        <v>0.03552</v>
      </c>
    </row>
    <row r="15" ht="22.5" customHeight="1" spans="1:25">
      <c r="A15" s="8" t="s">
        <v>52</v>
      </c>
      <c r="B15" s="20">
        <v>3.4</v>
      </c>
      <c r="C15" s="20">
        <v>15</v>
      </c>
      <c r="D15" s="20">
        <v>5</v>
      </c>
      <c r="E15" s="20">
        <f t="shared" si="7"/>
        <v>60</v>
      </c>
      <c r="F15" s="20">
        <v>48</v>
      </c>
      <c r="G15" s="20">
        <f t="shared" si="8"/>
        <v>108</v>
      </c>
      <c r="H15" s="20">
        <v>0.02</v>
      </c>
      <c r="I15" s="20">
        <f t="shared" si="9"/>
        <v>0.3</v>
      </c>
      <c r="J15" s="20">
        <v>3.4</v>
      </c>
      <c r="K15" s="20">
        <f t="shared" si="10"/>
        <v>3.7</v>
      </c>
      <c r="L15" s="10">
        <f t="shared" si="0"/>
        <v>8</v>
      </c>
      <c r="M15" s="10">
        <f t="shared" si="1"/>
        <v>45</v>
      </c>
      <c r="N15" s="10" t="s">
        <v>26</v>
      </c>
      <c r="O15" s="11">
        <v>0.1</v>
      </c>
      <c r="P15" s="12">
        <v>0.4</v>
      </c>
      <c r="Q15" s="13">
        <f t="shared" si="2"/>
        <v>565</v>
      </c>
      <c r="R15" s="10">
        <f t="shared" si="3"/>
        <v>867.7</v>
      </c>
      <c r="S15" s="25">
        <f t="shared" si="4"/>
        <v>0.04</v>
      </c>
      <c r="T15" s="13">
        <f t="shared" si="5"/>
        <v>1130</v>
      </c>
      <c r="U15" s="8" t="s">
        <v>53</v>
      </c>
      <c r="V15" s="20">
        <v>37</v>
      </c>
      <c r="W15" s="20">
        <v>20</v>
      </c>
      <c r="X15" s="20">
        <v>48</v>
      </c>
      <c r="Y15" s="19">
        <f t="shared" si="6"/>
        <v>0.03552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tabSelected="1" workbookViewId="0">
      <selection activeCell="O9" sqref="O9:R15"/>
    </sheetView>
  </sheetViews>
  <sheetFormatPr defaultColWidth="8.88888888888889" defaultRowHeight="14.4"/>
  <cols>
    <col min="1" max="1" width="49.6018518518519" customWidth="1"/>
    <col min="2" max="2" width="13.1574074074074" customWidth="1"/>
    <col min="3" max="3" width="23.3055555555556" customWidth="1"/>
    <col min="4" max="4" width="18.1574074074074" customWidth="1"/>
    <col min="5" max="5" width="16.4907407407407" customWidth="1"/>
    <col min="6" max="8" width="16.1203703703704" customWidth="1"/>
    <col min="9" max="9" width="16.4907407407407" customWidth="1"/>
    <col min="10" max="10" width="13.1574074074074" customWidth="1"/>
    <col min="11" max="11" width="17.2314814814815" customWidth="1"/>
    <col min="12" max="12" width="21.8240740740741" customWidth="1"/>
    <col min="13" max="13" width="13.1574074074074" customWidth="1"/>
    <col min="14" max="14" width="26.8240740740741" customWidth="1"/>
    <col min="15" max="17" width="9.26851851851852" customWidth="1"/>
    <col min="18" max="18" width="11.4907407407407" customWidth="1"/>
  </cols>
  <sheetData>
    <row r="1" s="1" customFormat="1" ht="22.5" customHeight="1" spans="1:23">
      <c r="A1" s="2" t="s">
        <v>0</v>
      </c>
      <c r="B1" s="3" t="s">
        <v>54</v>
      </c>
      <c r="C1" s="4" t="s">
        <v>9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55</v>
      </c>
      <c r="K1" s="4" t="s">
        <v>17</v>
      </c>
      <c r="L1" s="4" t="s">
        <v>18</v>
      </c>
      <c r="M1" s="4" t="s">
        <v>56</v>
      </c>
      <c r="N1" s="4" t="s">
        <v>20</v>
      </c>
      <c r="O1" s="5" t="s">
        <v>21</v>
      </c>
      <c r="P1" s="5" t="s">
        <v>22</v>
      </c>
      <c r="Q1" s="5" t="s">
        <v>23</v>
      </c>
      <c r="R1" s="6" t="s">
        <v>24</v>
      </c>
      <c r="S1" s="2" t="s">
        <v>57</v>
      </c>
      <c r="T1" s="2" t="s">
        <v>58</v>
      </c>
      <c r="U1" s="2" t="s">
        <v>59</v>
      </c>
      <c r="W1" s="7"/>
    </row>
    <row r="2" ht="22.5" customHeight="1" spans="1:23">
      <c r="A2" s="8" t="s">
        <v>25</v>
      </c>
      <c r="B2" s="9">
        <v>25</v>
      </c>
      <c r="C2" s="9">
        <v>1.35</v>
      </c>
      <c r="D2" s="10">
        <f>IF(C2&lt;=0.3,3,8)</f>
        <v>8</v>
      </c>
      <c r="E2" s="10">
        <f>IF(C2&lt;=0.3,61,45)</f>
        <v>45</v>
      </c>
      <c r="F2" s="10" t="s">
        <v>26</v>
      </c>
      <c r="G2" s="11">
        <v>0.1</v>
      </c>
      <c r="H2" s="12">
        <v>0.4</v>
      </c>
      <c r="I2" s="13">
        <f>(B2+D2+E2*C2)/(1-G2-H2)</f>
        <v>187.5</v>
      </c>
      <c r="J2" s="14" t="s">
        <v>60</v>
      </c>
      <c r="K2" s="15">
        <f>C2*E2+D2</f>
        <v>68.75</v>
      </c>
      <c r="L2" s="16">
        <f>I2*H2</f>
        <v>75</v>
      </c>
      <c r="M2" s="13">
        <f>I2*2</f>
        <v>375</v>
      </c>
      <c r="N2" s="17" t="s">
        <v>27</v>
      </c>
      <c r="O2" s="18">
        <v>36.3</v>
      </c>
      <c r="P2" s="18">
        <v>30.9</v>
      </c>
      <c r="Q2" s="18">
        <v>20.3</v>
      </c>
      <c r="R2" s="19">
        <f t="shared" ref="R2:R15" si="0">(O2*P2*Q2)/1000000</f>
        <v>0.022769901</v>
      </c>
    </row>
    <row r="3" ht="22.5" customHeight="1" spans="1:23">
      <c r="A3" s="8" t="s">
        <v>28</v>
      </c>
      <c r="B3" s="9">
        <v>46</v>
      </c>
      <c r="C3" s="9">
        <v>2.7</v>
      </c>
      <c r="D3" s="10">
        <f t="shared" ref="D3:D8" si="1">IF(C3&lt;=0.3,3,8)</f>
        <v>8</v>
      </c>
      <c r="E3" s="10">
        <f t="shared" ref="E3:E8" si="2">IF(C3&lt;=0.3,61,45)</f>
        <v>45</v>
      </c>
      <c r="F3" s="10" t="s">
        <v>26</v>
      </c>
      <c r="G3" s="11">
        <v>0.1</v>
      </c>
      <c r="H3" s="12">
        <v>0.4</v>
      </c>
      <c r="I3" s="13">
        <f t="shared" ref="I3:I8" si="3">(B3+D3+E3*C3)/(1-G3-H3)</f>
        <v>351</v>
      </c>
      <c r="J3" s="14" t="s">
        <v>60</v>
      </c>
      <c r="K3" s="15">
        <f t="shared" ref="K3:K8" si="4">C3*E3+D3</f>
        <v>129.5</v>
      </c>
      <c r="L3" s="16">
        <f t="shared" ref="L3:L8" si="5">I3*H3</f>
        <v>140.4</v>
      </c>
      <c r="M3" s="13">
        <f t="shared" ref="M3:M8" si="6">I3*2</f>
        <v>702</v>
      </c>
      <c r="N3" s="17" t="s">
        <v>29</v>
      </c>
      <c r="O3" s="18">
        <v>40</v>
      </c>
      <c r="P3" s="18">
        <v>20</v>
      </c>
      <c r="Q3" s="18">
        <v>30</v>
      </c>
      <c r="R3" s="19">
        <f t="shared" si="0"/>
        <v>0.024</v>
      </c>
    </row>
    <row r="4" ht="22.5" customHeight="1" spans="1:23">
      <c r="A4" s="8" t="s">
        <v>30</v>
      </c>
      <c r="B4" s="9">
        <v>52</v>
      </c>
      <c r="C4" s="9">
        <v>2.7</v>
      </c>
      <c r="D4" s="10">
        <f t="shared" si="1"/>
        <v>8</v>
      </c>
      <c r="E4" s="10">
        <f t="shared" si="2"/>
        <v>45</v>
      </c>
      <c r="F4" s="10" t="s">
        <v>26</v>
      </c>
      <c r="G4" s="11">
        <v>0.1</v>
      </c>
      <c r="H4" s="12">
        <v>0.4</v>
      </c>
      <c r="I4" s="13">
        <f t="shared" si="3"/>
        <v>363</v>
      </c>
      <c r="J4" s="14" t="s">
        <v>60</v>
      </c>
      <c r="K4" s="15">
        <f t="shared" si="4"/>
        <v>129.5</v>
      </c>
      <c r="L4" s="16">
        <f t="shared" si="5"/>
        <v>145.2</v>
      </c>
      <c r="M4" s="13">
        <f t="shared" si="6"/>
        <v>726</v>
      </c>
      <c r="N4" s="17" t="s">
        <v>31</v>
      </c>
      <c r="O4" s="18">
        <v>40</v>
      </c>
      <c r="P4" s="18">
        <v>20</v>
      </c>
      <c r="Q4" s="18">
        <v>30</v>
      </c>
      <c r="R4" s="19">
        <f t="shared" si="0"/>
        <v>0.024</v>
      </c>
    </row>
    <row r="5" ht="22.5" customHeight="1" spans="1:23">
      <c r="A5" s="8" t="s">
        <v>32</v>
      </c>
      <c r="B5" s="9">
        <v>18</v>
      </c>
      <c r="C5" s="9">
        <v>1.6</v>
      </c>
      <c r="D5" s="10">
        <f t="shared" si="1"/>
        <v>8</v>
      </c>
      <c r="E5" s="10">
        <f t="shared" si="2"/>
        <v>45</v>
      </c>
      <c r="F5" s="10" t="s">
        <v>26</v>
      </c>
      <c r="G5" s="11">
        <v>0.1</v>
      </c>
      <c r="H5" s="12">
        <v>0.4</v>
      </c>
      <c r="I5" s="13">
        <f t="shared" si="3"/>
        <v>196</v>
      </c>
      <c r="J5" s="14" t="s">
        <v>60</v>
      </c>
      <c r="K5" s="15">
        <f t="shared" si="4"/>
        <v>80</v>
      </c>
      <c r="L5" s="16">
        <f t="shared" si="5"/>
        <v>78.4</v>
      </c>
      <c r="M5" s="13">
        <f t="shared" si="6"/>
        <v>392</v>
      </c>
      <c r="N5" s="17" t="s">
        <v>33</v>
      </c>
      <c r="O5" s="18">
        <v>25</v>
      </c>
      <c r="P5" s="18">
        <v>13.5</v>
      </c>
      <c r="Q5" s="18">
        <v>32</v>
      </c>
      <c r="R5" s="19">
        <f t="shared" si="0"/>
        <v>0.0108</v>
      </c>
    </row>
    <row r="6" ht="22.5" customHeight="1" spans="1:23">
      <c r="A6" s="8" t="s">
        <v>34</v>
      </c>
      <c r="B6" s="9">
        <v>38</v>
      </c>
      <c r="C6" s="9">
        <v>3.1</v>
      </c>
      <c r="D6" s="10">
        <f t="shared" si="1"/>
        <v>8</v>
      </c>
      <c r="E6" s="10">
        <f t="shared" si="2"/>
        <v>45</v>
      </c>
      <c r="F6" s="10" t="s">
        <v>26</v>
      </c>
      <c r="G6" s="11">
        <v>0.1</v>
      </c>
      <c r="H6" s="12">
        <v>0.4</v>
      </c>
      <c r="I6" s="13">
        <f t="shared" si="3"/>
        <v>371</v>
      </c>
      <c r="J6" s="14" t="s">
        <v>60</v>
      </c>
      <c r="K6" s="15">
        <f t="shared" si="4"/>
        <v>147.5</v>
      </c>
      <c r="L6" s="16">
        <f t="shared" si="5"/>
        <v>148.4</v>
      </c>
      <c r="M6" s="13">
        <f t="shared" si="6"/>
        <v>742</v>
      </c>
      <c r="N6" s="17" t="s">
        <v>35</v>
      </c>
      <c r="O6" s="18">
        <v>37</v>
      </c>
      <c r="P6" s="18">
        <v>20</v>
      </c>
      <c r="Q6" s="18">
        <v>48</v>
      </c>
      <c r="R6" s="19">
        <f t="shared" si="0"/>
        <v>0.03552</v>
      </c>
    </row>
    <row r="7" ht="22.5" customHeight="1" spans="1:23">
      <c r="A7" s="8" t="s">
        <v>36</v>
      </c>
      <c r="B7" s="9">
        <v>48</v>
      </c>
      <c r="C7" s="9">
        <v>3.4</v>
      </c>
      <c r="D7" s="10">
        <f t="shared" si="1"/>
        <v>8</v>
      </c>
      <c r="E7" s="10">
        <f t="shared" si="2"/>
        <v>45</v>
      </c>
      <c r="F7" s="10" t="s">
        <v>26</v>
      </c>
      <c r="G7" s="11">
        <v>0.1</v>
      </c>
      <c r="H7" s="12">
        <v>0.4</v>
      </c>
      <c r="I7" s="13">
        <f t="shared" si="3"/>
        <v>418</v>
      </c>
      <c r="J7" s="14" t="s">
        <v>60</v>
      </c>
      <c r="K7" s="15">
        <f t="shared" si="4"/>
        <v>161</v>
      </c>
      <c r="L7" s="16">
        <f t="shared" si="5"/>
        <v>167.2</v>
      </c>
      <c r="M7" s="13">
        <f t="shared" si="6"/>
        <v>836</v>
      </c>
      <c r="N7" s="17" t="s">
        <v>37</v>
      </c>
      <c r="O7" s="18">
        <v>37</v>
      </c>
      <c r="P7" s="18">
        <v>20</v>
      </c>
      <c r="Q7" s="18">
        <v>48</v>
      </c>
      <c r="R7" s="19">
        <f t="shared" si="0"/>
        <v>0.03552</v>
      </c>
    </row>
    <row r="8" ht="22.5" customHeight="1" spans="1:23">
      <c r="A8" s="8" t="s">
        <v>38</v>
      </c>
      <c r="B8" s="9">
        <v>48</v>
      </c>
      <c r="C8" s="9">
        <v>3.4</v>
      </c>
      <c r="D8" s="10">
        <f t="shared" si="1"/>
        <v>8</v>
      </c>
      <c r="E8" s="10">
        <f t="shared" si="2"/>
        <v>45</v>
      </c>
      <c r="F8" s="10" t="s">
        <v>26</v>
      </c>
      <c r="G8" s="11">
        <v>0.1</v>
      </c>
      <c r="H8" s="12">
        <v>0.4</v>
      </c>
      <c r="I8" s="13">
        <f t="shared" si="3"/>
        <v>418</v>
      </c>
      <c r="J8" s="14" t="s">
        <v>60</v>
      </c>
      <c r="K8" s="15">
        <f t="shared" si="4"/>
        <v>161</v>
      </c>
      <c r="L8" s="16">
        <f t="shared" si="5"/>
        <v>167.2</v>
      </c>
      <c r="M8" s="13">
        <f t="shared" si="6"/>
        <v>836</v>
      </c>
      <c r="N8" s="17" t="s">
        <v>39</v>
      </c>
      <c r="O8" s="18">
        <v>37</v>
      </c>
      <c r="P8" s="18">
        <v>20</v>
      </c>
      <c r="Q8" s="18">
        <v>48</v>
      </c>
      <c r="R8" s="19">
        <f t="shared" si="0"/>
        <v>0.03552</v>
      </c>
    </row>
    <row r="9" ht="22.5" customHeight="1" spans="1:23">
      <c r="A9" s="8" t="s">
        <v>40</v>
      </c>
      <c r="B9" s="20">
        <v>61.2</v>
      </c>
      <c r="C9" s="20">
        <v>1.51</v>
      </c>
      <c r="D9" s="10">
        <f t="shared" ref="D9:D15" si="7">IF(C9&lt;=0.3,3,8)</f>
        <v>8</v>
      </c>
      <c r="E9" s="10">
        <f t="shared" ref="E9:E15" si="8">IF(C9&lt;=0.3,61,45)</f>
        <v>45</v>
      </c>
      <c r="F9" s="10" t="s">
        <v>26</v>
      </c>
      <c r="G9" s="11">
        <v>0.1</v>
      </c>
      <c r="H9" s="12">
        <v>0.4</v>
      </c>
      <c r="I9" s="13">
        <f t="shared" ref="I9:I15" si="9">(B9+D9+E9*C9)/(1-G9-H9)</f>
        <v>274.3</v>
      </c>
      <c r="J9" s="14" t="s">
        <v>60</v>
      </c>
      <c r="K9" s="15">
        <f t="shared" ref="K9:K15" si="10">C9*E9+D9</f>
        <v>75.95</v>
      </c>
      <c r="L9" s="16">
        <f t="shared" ref="L9:L15" si="11">I9*H9</f>
        <v>109.72</v>
      </c>
      <c r="M9" s="13">
        <f t="shared" ref="M9:M15" si="12">I9*2</f>
        <v>548.6</v>
      </c>
      <c r="N9" s="8" t="s">
        <v>41</v>
      </c>
      <c r="O9" s="18">
        <v>36.3</v>
      </c>
      <c r="P9" s="18">
        <v>30.9</v>
      </c>
      <c r="Q9" s="18">
        <v>20.3</v>
      </c>
      <c r="R9" s="19">
        <f t="shared" si="0"/>
        <v>0.022769901</v>
      </c>
    </row>
    <row r="10" ht="22.5" customHeight="1" spans="1:23">
      <c r="A10" s="8" t="s">
        <v>42</v>
      </c>
      <c r="B10" s="20">
        <v>106</v>
      </c>
      <c r="C10" s="20">
        <v>3</v>
      </c>
      <c r="D10" s="10">
        <f t="shared" si="7"/>
        <v>8</v>
      </c>
      <c r="E10" s="10">
        <f t="shared" si="8"/>
        <v>45</v>
      </c>
      <c r="F10" s="10" t="s">
        <v>26</v>
      </c>
      <c r="G10" s="11">
        <v>0.1</v>
      </c>
      <c r="H10" s="12">
        <v>0.4</v>
      </c>
      <c r="I10" s="13">
        <f t="shared" si="9"/>
        <v>498</v>
      </c>
      <c r="J10" s="14" t="s">
        <v>60</v>
      </c>
      <c r="K10" s="15">
        <f t="shared" si="10"/>
        <v>143</v>
      </c>
      <c r="L10" s="16">
        <f t="shared" si="11"/>
        <v>199.2</v>
      </c>
      <c r="M10" s="13">
        <f t="shared" si="12"/>
        <v>996</v>
      </c>
      <c r="N10" s="8" t="s">
        <v>43</v>
      </c>
      <c r="O10" s="18">
        <v>40</v>
      </c>
      <c r="P10" s="18">
        <v>20</v>
      </c>
      <c r="Q10" s="18">
        <v>30</v>
      </c>
      <c r="R10" s="19">
        <f t="shared" si="0"/>
        <v>0.024</v>
      </c>
    </row>
    <row r="11" ht="22.5" customHeight="1" spans="1:23">
      <c r="A11" s="8" t="s">
        <v>44</v>
      </c>
      <c r="B11" s="20">
        <v>112</v>
      </c>
      <c r="C11" s="20">
        <v>3</v>
      </c>
      <c r="D11" s="10">
        <f t="shared" si="7"/>
        <v>8</v>
      </c>
      <c r="E11" s="10">
        <f t="shared" si="8"/>
        <v>45</v>
      </c>
      <c r="F11" s="10" t="s">
        <v>26</v>
      </c>
      <c r="G11" s="11">
        <v>0.1</v>
      </c>
      <c r="H11" s="12">
        <v>0.4</v>
      </c>
      <c r="I11" s="13">
        <f t="shared" si="9"/>
        <v>510</v>
      </c>
      <c r="J11" s="14" t="s">
        <v>60</v>
      </c>
      <c r="K11" s="15">
        <f t="shared" si="10"/>
        <v>143</v>
      </c>
      <c r="L11" s="16">
        <f t="shared" si="11"/>
        <v>204</v>
      </c>
      <c r="M11" s="13">
        <f t="shared" si="12"/>
        <v>1020</v>
      </c>
      <c r="N11" s="8" t="s">
        <v>45</v>
      </c>
      <c r="O11" s="18">
        <v>40</v>
      </c>
      <c r="P11" s="18">
        <v>20</v>
      </c>
      <c r="Q11" s="18">
        <v>30</v>
      </c>
      <c r="R11" s="19">
        <f t="shared" si="0"/>
        <v>0.024</v>
      </c>
    </row>
    <row r="12" ht="22.5" customHeight="1" spans="1:23">
      <c r="A12" s="8" t="s">
        <v>46</v>
      </c>
      <c r="B12" s="20">
        <v>54.2</v>
      </c>
      <c r="C12" s="20">
        <v>1.76</v>
      </c>
      <c r="D12" s="10">
        <f t="shared" si="7"/>
        <v>8</v>
      </c>
      <c r="E12" s="10">
        <f t="shared" si="8"/>
        <v>45</v>
      </c>
      <c r="F12" s="10" t="s">
        <v>26</v>
      </c>
      <c r="G12" s="11">
        <v>0.1</v>
      </c>
      <c r="H12" s="12">
        <v>0.4</v>
      </c>
      <c r="I12" s="13">
        <f t="shared" si="9"/>
        <v>282.8</v>
      </c>
      <c r="J12" s="14" t="s">
        <v>60</v>
      </c>
      <c r="K12" s="15">
        <f t="shared" si="10"/>
        <v>87.2</v>
      </c>
      <c r="L12" s="16">
        <f t="shared" si="11"/>
        <v>113.12</v>
      </c>
      <c r="M12" s="13">
        <f t="shared" si="12"/>
        <v>565.6</v>
      </c>
      <c r="N12" s="8" t="s">
        <v>47</v>
      </c>
      <c r="O12" s="18">
        <v>25</v>
      </c>
      <c r="P12" s="18">
        <v>13.5</v>
      </c>
      <c r="Q12" s="18">
        <v>32</v>
      </c>
      <c r="R12" s="19">
        <f t="shared" si="0"/>
        <v>0.0108</v>
      </c>
    </row>
    <row r="13" ht="22.5" customHeight="1" spans="1:23">
      <c r="A13" s="8" t="s">
        <v>48</v>
      </c>
      <c r="B13" s="20">
        <v>98</v>
      </c>
      <c r="C13" s="20">
        <v>3.4</v>
      </c>
      <c r="D13" s="10">
        <f t="shared" si="7"/>
        <v>8</v>
      </c>
      <c r="E13" s="10">
        <f t="shared" si="8"/>
        <v>45</v>
      </c>
      <c r="F13" s="10" t="s">
        <v>26</v>
      </c>
      <c r="G13" s="11">
        <v>0.1</v>
      </c>
      <c r="H13" s="12">
        <v>0.4</v>
      </c>
      <c r="I13" s="13">
        <f t="shared" si="9"/>
        <v>518</v>
      </c>
      <c r="J13" s="14" t="s">
        <v>60</v>
      </c>
      <c r="K13" s="15">
        <f t="shared" si="10"/>
        <v>161</v>
      </c>
      <c r="L13" s="16">
        <f t="shared" si="11"/>
        <v>207.2</v>
      </c>
      <c r="M13" s="13">
        <f t="shared" si="12"/>
        <v>1036</v>
      </c>
      <c r="N13" s="8" t="s">
        <v>49</v>
      </c>
      <c r="O13" s="18">
        <v>37</v>
      </c>
      <c r="P13" s="18">
        <v>20</v>
      </c>
      <c r="Q13" s="18">
        <v>48</v>
      </c>
      <c r="R13" s="19">
        <f t="shared" si="0"/>
        <v>0.03552</v>
      </c>
    </row>
    <row r="14" ht="22.5" customHeight="1" spans="1:23">
      <c r="A14" s="8" t="s">
        <v>50</v>
      </c>
      <c r="B14" s="20">
        <v>108</v>
      </c>
      <c r="C14" s="20">
        <v>3.7</v>
      </c>
      <c r="D14" s="10">
        <f t="shared" si="7"/>
        <v>8</v>
      </c>
      <c r="E14" s="10">
        <f t="shared" si="8"/>
        <v>45</v>
      </c>
      <c r="F14" s="10" t="s">
        <v>26</v>
      </c>
      <c r="G14" s="11">
        <v>0.1</v>
      </c>
      <c r="H14" s="12">
        <v>0.4</v>
      </c>
      <c r="I14" s="13">
        <f t="shared" si="9"/>
        <v>565</v>
      </c>
      <c r="J14" s="14" t="s">
        <v>60</v>
      </c>
      <c r="K14" s="15">
        <f t="shared" si="10"/>
        <v>174.5</v>
      </c>
      <c r="L14" s="16">
        <f t="shared" si="11"/>
        <v>226</v>
      </c>
      <c r="M14" s="13">
        <f t="shared" si="12"/>
        <v>1130</v>
      </c>
      <c r="N14" s="8" t="s">
        <v>51</v>
      </c>
      <c r="O14" s="18">
        <v>37</v>
      </c>
      <c r="P14" s="18">
        <v>20</v>
      </c>
      <c r="Q14" s="18">
        <v>48</v>
      </c>
      <c r="R14" s="19">
        <f t="shared" si="0"/>
        <v>0.03552</v>
      </c>
    </row>
    <row r="15" ht="22.5" customHeight="1" spans="1:23">
      <c r="A15" s="8" t="s">
        <v>52</v>
      </c>
      <c r="B15" s="20">
        <v>108</v>
      </c>
      <c r="C15" s="20">
        <v>3.7</v>
      </c>
      <c r="D15" s="10">
        <f t="shared" si="7"/>
        <v>8</v>
      </c>
      <c r="E15" s="10">
        <f t="shared" si="8"/>
        <v>45</v>
      </c>
      <c r="F15" s="10" t="s">
        <v>26</v>
      </c>
      <c r="G15" s="11">
        <v>0.1</v>
      </c>
      <c r="H15" s="12">
        <v>0.4</v>
      </c>
      <c r="I15" s="13">
        <f t="shared" si="9"/>
        <v>565</v>
      </c>
      <c r="J15" s="14" t="s">
        <v>60</v>
      </c>
      <c r="K15" s="15">
        <f t="shared" si="10"/>
        <v>174.5</v>
      </c>
      <c r="L15" s="16">
        <f t="shared" si="11"/>
        <v>226</v>
      </c>
      <c r="M15" s="13">
        <f t="shared" si="12"/>
        <v>1130</v>
      </c>
      <c r="N15" s="8" t="s">
        <v>53</v>
      </c>
      <c r="O15" s="18">
        <v>37</v>
      </c>
      <c r="P15" s="18">
        <v>20</v>
      </c>
      <c r="Q15" s="18">
        <v>48</v>
      </c>
      <c r="R15" s="19">
        <f t="shared" si="0"/>
        <v>0.03552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Ainner</dc:creator>
  <cp:lastModifiedBy>止于回忆の记忆</cp:lastModifiedBy>
  <dcterms:created xsi:type="dcterms:W3CDTF">2026-06-20T08:51:58Z</dcterms:created>
  <dcterms:modified xsi:type="dcterms:W3CDTF">2026-06-20T09:14:08Z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12497232BFEA4AF3B12BAC6A51A7285B_11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