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500"/>
  </bookViews>
  <sheets>
    <sheet name="表格_20260610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<sst xmlns="http://schemas.openxmlformats.org/spreadsheetml/2006/main" count="86" uniqueCount="62">
  <si>
    <t>SKU 图片链接</t>
  </si>
  <si>
    <t>SKU 名称</t>
  </si>
  <si>
    <t>英文SKU</t>
  </si>
  <si>
    <t>SKU ID</t>
  </si>
  <si>
    <t>售价 (人民币)</t>
  </si>
  <si>
    <t>运费 (人民币)</t>
  </si>
  <si>
    <t>售价 + 运费 (人民币)</t>
  </si>
  <si>
    <t>起批量</t>
  </si>
  <si>
    <t>库存</t>
  </si>
  <si>
    <t>计算价格 (人民币)</t>
  </si>
  <si>
    <t>计算价格 (美元)</t>
  </si>
  <si>
    <t>长 (cm)</t>
  </si>
  <si>
    <t>宽 (cm)</t>
  </si>
  <si>
    <t>高 (cm)</t>
  </si>
  <si>
    <t>体积 (cm³)</t>
  </si>
  <si>
    <t>重量 (g)</t>
  </si>
  <si>
    <t>快递包装重量（kq</t>
  </si>
  <si>
    <t>跨境售价</t>
  </si>
  <si>
    <t>https://cbu01.alicdn.com/img/ibank/O1CN01sxYBO31VcHmZDtvH9_!!2207940622673-0-cib.jpg</t>
  </si>
  <si>
    <t>铝 400*400mm</t>
  </si>
  <si>
    <t>AL-400X400</t>
  </si>
  <si>
    <t>6119261935902</t>
  </si>
  <si>
    <t>https://cbu01.alicdn.com/img/ibank/O1CN013SCOb21VcHmaUQTju_!!2207940622673-0-cib.jpg</t>
  </si>
  <si>
    <t>丝印版 400*400mm</t>
  </si>
  <si>
    <t>SP-400X400</t>
  </si>
  <si>
    <t>6118482650714</t>
  </si>
  <si>
    <t>https://cbu01.alicdn.com/img/ibank/O1CN01vR78TF1VcHmZeHTET_!!2207940622673-0-cib.jpg</t>
  </si>
  <si>
    <t>夹具版 400*400mm</t>
  </si>
  <si>
    <t>JIG-400X400</t>
  </si>
  <si>
    <t>4935103352191</t>
  </si>
  <si>
    <t>https://cbu01.alicdn.com/img/ibank/O1CN01jxzaRN1VcHmau2yj8_!!2207940622673-0-cib.jpg</t>
  </si>
  <si>
    <t>丝印版 500*500mm</t>
  </si>
  <si>
    <t>SP-500X500</t>
  </si>
  <si>
    <t>6119261935903</t>
  </si>
  <si>
    <t>https://cbu01.alicdn.com/img/ibank/O1CN01x6P0wC1VcHma4sbze_!!2207940622673-0-cib.jpg</t>
  </si>
  <si>
    <t>夹具版 500*500mm</t>
  </si>
  <si>
    <t>JIG-500X500</t>
  </si>
  <si>
    <t>4935103352194</t>
  </si>
  <si>
    <t>英文sku</t>
  </si>
  <si>
    <t>包装重量（qk）</t>
  </si>
  <si>
    <t>https://cbu01.alicdn.com/img/ibank/O1CN017lSBsf1VcHnOCIvhF_!!2207940622673-0-cib.jpg</t>
  </si>
  <si>
    <t>黑色 4240+20w 激光</t>
  </si>
  <si>
    <t>LE-4240-20W</t>
  </si>
  <si>
    <t>5969548005664</t>
  </si>
  <si>
    <t>https://cbu01.alicdn.com/img/ibank/O1CN01aakxj31VcHnOyQo0m_!!2207940622673-0-cib.jpg</t>
  </si>
  <si>
    <t>黑色 4240+40w 激光</t>
  </si>
  <si>
    <t>LE-4240-40W</t>
  </si>
  <si>
    <t>5969548005665</t>
  </si>
  <si>
    <t>https://cbu01.alicdn.com/img/ibank/O1CN01yVh9w21VcHnPkZlZa_!!2207940622673-0-cib.jpg</t>
  </si>
  <si>
    <t>黑色 4240+20w 激光 + 烟雾净化器</t>
  </si>
  <si>
    <t>LE-4240-20W-FP</t>
  </si>
  <si>
    <t>5997233749099</t>
  </si>
  <si>
    <t>https://cbu01.alicdn.com/img/ibank/O1CN01emVT5e1VcHnPNvmUg_!!2207940622673-0-cib.jpg</t>
  </si>
  <si>
    <t>黑色 4240+40w 激光 + 烟雾净化器</t>
  </si>
  <si>
    <t>LE-4240-40W-FP</t>
  </si>
  <si>
    <t>5997233749098</t>
  </si>
  <si>
    <t>三档旋转轴</t>
  </si>
  <si>
    <t>LYKZ-3S-RA</t>
  </si>
  <si>
    <t>无级旋转轴</t>
  </si>
  <si>
    <t>LYKZ-SL-RA</t>
  </si>
  <si>
    <t>激光防护罩</t>
  </si>
  <si>
    <t>LYKZ-LS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</si>
</sst>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Us\$\,\0\.\0\0;\Us\$\-\,\0\.\0\0"/>
  </numFmts>
  <fonts count="22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7" fontId="2" fillId="0" borderId="0" xfId="0" applyNumberFormat="1" applyFont="1" applyAlignment="1">
      <alignment horizontal="center" vertical="center" wrapText="1"/>
    </xf>
    <xf numFmtId="176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5"/>
  <sheetViews>
    <sheetView tabSelected="1" zoomScaleSheetLayoutView="60" workbookViewId="0">
      <selection activeCell="K21" sqref="$A1:$XFD1048576"/>
    </sheetView>
  </sheetViews>
  <sheetFormatPr defaultColWidth="10" defaultRowHeight="14.4"/>
  <cols>
    <col min="1" max="1" width="50.7777777777778" customWidth="1"/>
    <col min="2" max="2" width="14.2685185185185" customWidth="1"/>
    <col min="3" max="3" width="15.5648148148148" customWidth="1"/>
    <col min="4" max="4" width="21.4537037037037" customWidth="1"/>
    <col min="5" max="6" width="17.2314814814815" customWidth="1"/>
    <col min="7" max="7" width="25.8981481481481" customWidth="1"/>
    <col min="8" max="8" width="11.1203703703704" customWidth="1"/>
    <col min="9" max="9" width="9.08333333333333" customWidth="1"/>
    <col min="10" max="10" width="23.3055555555556" customWidth="1"/>
    <col min="11" max="13" width="12.0462962962963" customWidth="1"/>
    <col min="14" max="14" width="14.8240740740741" customWidth="1"/>
    <col min="15" max="15" width="12.4166666666667" customWidth="1"/>
    <col min="16" max="16" width="21.6388888888889" customWidth="1"/>
    <col min="17" max="18" width="16.4907407407407" customWidth="1"/>
  </cols>
  <sheetData>
    <row r="1" ht="39" customHeight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</row>
    <row r="2" ht="39" customHeight="1" spans="1:18">
      <c r="A2" s="3" t="s">
        <v>18</v>
      </c>
      <c r="B2" s="4" t="s">
        <v>19</v>
      </c>
      <c r="C2" s="4" t="s">
        <v>20</v>
      </c>
      <c r="D2" s="10" t="s">
        <v>21</v>
      </c>
      <c r="E2" s="5">
        <v>115</v>
      </c>
      <c r="F2" s="5">
        <v>20</v>
      </c>
      <c r="G2" s="5">
        <v>135</v>
      </c>
      <c r="H2" s="4">
        <v>50</v>
      </c>
      <c r="I2" s="4">
        <v>99</v>
      </c>
      <c r="J2" s="5">
        <v>158</v>
      </c>
      <c r="K2" s="6">
        <v>23.27</v>
      </c>
      <c r="L2" s="4">
        <v>47</v>
      </c>
      <c r="M2" s="4">
        <v>44</v>
      </c>
      <c r="N2" s="4">
        <v>4.5</v>
      </c>
      <c r="O2" s="4">
        <v>9306</v>
      </c>
      <c r="P2" s="4">
        <v>1200</v>
      </c>
      <c r="Q2" s="7">
        <f>(P2+100)/1000</f>
        <v>1.3</v>
      </c>
      <c r="R2" s="7">
        <v>671.666666666667</v>
      </c>
    </row>
    <row r="3" ht="39" customHeight="1" spans="1:18">
      <c r="A3" s="3" t="s">
        <v>22</v>
      </c>
      <c r="B3" s="4" t="s">
        <v>23</v>
      </c>
      <c r="C3" s="4" t="s">
        <v>24</v>
      </c>
      <c r="D3" s="10" t="s">
        <v>25</v>
      </c>
      <c r="E3" s="5">
        <v>125</v>
      </c>
      <c r="F3" s="5">
        <v>20</v>
      </c>
      <c r="G3" s="5">
        <v>145</v>
      </c>
      <c r="H3" s="4">
        <v>50</v>
      </c>
      <c r="I3" s="4">
        <v>99</v>
      </c>
      <c r="J3" s="5">
        <v>170</v>
      </c>
      <c r="K3" s="6">
        <v>25.04</v>
      </c>
      <c r="L3" s="4">
        <v>47</v>
      </c>
      <c r="M3" s="4">
        <v>44</v>
      </c>
      <c r="N3" s="4">
        <v>4.5</v>
      </c>
      <c r="O3" s="4">
        <v>9306</v>
      </c>
      <c r="P3" s="4">
        <v>1500</v>
      </c>
      <c r="Q3" s="7">
        <f>(P3+100)/1000</f>
        <v>1.6</v>
      </c>
      <c r="R3" s="7">
        <v>750</v>
      </c>
    </row>
    <row r="4" ht="39" customHeight="1" spans="1:18">
      <c r="A4" s="3" t="s">
        <v>26</v>
      </c>
      <c r="B4" s="4" t="s">
        <v>27</v>
      </c>
      <c r="C4" s="4" t="s">
        <v>28</v>
      </c>
      <c r="D4" s="10" t="s">
        <v>29</v>
      </c>
      <c r="E4" s="5">
        <v>165</v>
      </c>
      <c r="F4" s="5">
        <v>20</v>
      </c>
      <c r="G4" s="5">
        <v>185</v>
      </c>
      <c r="H4" s="4">
        <v>50</v>
      </c>
      <c r="I4" s="4">
        <v>99</v>
      </c>
      <c r="J4" s="5">
        <v>218</v>
      </c>
      <c r="K4" s="6">
        <v>32.11</v>
      </c>
      <c r="L4" s="4">
        <v>47</v>
      </c>
      <c r="M4" s="4">
        <v>44</v>
      </c>
      <c r="N4" s="4">
        <v>4.5</v>
      </c>
      <c r="O4" s="4">
        <v>9306</v>
      </c>
      <c r="P4" s="4">
        <v>1700</v>
      </c>
      <c r="Q4" s="7">
        <f>(P4+100)/1000</f>
        <v>1.8</v>
      </c>
      <c r="R4" s="7">
        <v>913.333333333333</v>
      </c>
    </row>
    <row r="5" ht="39" customHeight="1" spans="1:18">
      <c r="A5" s="3" t="s">
        <v>30</v>
      </c>
      <c r="B5" s="4" t="s">
        <v>31</v>
      </c>
      <c r="C5" s="4" t="s">
        <v>32</v>
      </c>
      <c r="D5" s="10" t="s">
        <v>33</v>
      </c>
      <c r="E5" s="5">
        <v>155</v>
      </c>
      <c r="F5" s="5">
        <v>20</v>
      </c>
      <c r="G5" s="5">
        <v>175</v>
      </c>
      <c r="H5" s="4">
        <v>50</v>
      </c>
      <c r="I5" s="4">
        <v>99</v>
      </c>
      <c r="J5" s="5">
        <v>206</v>
      </c>
      <c r="K5" s="6">
        <v>30.34</v>
      </c>
      <c r="L5" s="4">
        <v>57</v>
      </c>
      <c r="M5" s="4">
        <v>54</v>
      </c>
      <c r="N5" s="4">
        <v>4.5</v>
      </c>
      <c r="O5" s="4">
        <v>13851</v>
      </c>
      <c r="P5" s="4">
        <v>1600</v>
      </c>
      <c r="Q5" s="7">
        <f>(P5+100)/1000</f>
        <v>1.7</v>
      </c>
      <c r="R5" s="7">
        <v>865</v>
      </c>
    </row>
    <row r="6" ht="39" customHeight="1" spans="1:18">
      <c r="A6" s="3" t="s">
        <v>34</v>
      </c>
      <c r="B6" s="4" t="s">
        <v>35</v>
      </c>
      <c r="C6" s="4" t="s">
        <v>36</v>
      </c>
      <c r="D6" s="10" t="s">
        <v>37</v>
      </c>
      <c r="E6" s="5">
        <v>190</v>
      </c>
      <c r="F6" s="5">
        <v>20</v>
      </c>
      <c r="G6" s="5">
        <v>210</v>
      </c>
      <c r="H6" s="4">
        <v>50</v>
      </c>
      <c r="I6" s="4">
        <v>99</v>
      </c>
      <c r="J6" s="5">
        <v>248</v>
      </c>
      <c r="K6" s="6">
        <v>36.53</v>
      </c>
      <c r="L6" s="4">
        <v>57</v>
      </c>
      <c r="M6" s="4">
        <v>54</v>
      </c>
      <c r="N6" s="4">
        <v>4.5</v>
      </c>
      <c r="O6" s="4">
        <v>13851</v>
      </c>
      <c r="P6" s="4">
        <v>2000</v>
      </c>
      <c r="Q6" s="7">
        <f>(P6+100)/1000</f>
        <v>2.1</v>
      </c>
      <c r="R6" s="7">
        <v>1041.66666666667</v>
      </c>
    </row>
    <row r="7" ht="22.5" customHeight="1" spans="1:18">
      <c r="A7" s="1" t="s">
        <v>0</v>
      </c>
      <c r="B7" s="1" t="s">
        <v>1</v>
      </c>
      <c r="C7" s="1" t="s">
        <v>38</v>
      </c>
      <c r="D7" s="1" t="s">
        <v>3</v>
      </c>
      <c r="E7" s="1" t="s">
        <v>4</v>
      </c>
      <c r="F7" s="1" t="s">
        <v>5</v>
      </c>
      <c r="G7" s="1" t="s">
        <v>6</v>
      </c>
      <c r="H7" s="1" t="s">
        <v>7</v>
      </c>
      <c r="I7" s="1" t="s">
        <v>8</v>
      </c>
      <c r="J7" s="1" t="s">
        <v>9</v>
      </c>
      <c r="K7" s="1" t="s">
        <v>11</v>
      </c>
      <c r="L7" s="1" t="s">
        <v>12</v>
      </c>
      <c r="M7" s="1" t="s">
        <v>13</v>
      </c>
      <c r="N7" s="1" t="s">
        <v>14</v>
      </c>
      <c r="O7" s="1" t="s">
        <v>15</v>
      </c>
      <c r="P7" s="2" t="s">
        <v>39</v>
      </c>
      <c r="Q7" s="2" t="s">
        <v>17</v>
      </c>
    </row>
    <row r="8" ht="39" customHeight="1" spans="1:18">
      <c r="A8" s="3" t="s">
        <v>40</v>
      </c>
      <c r="B8" s="4" t="s">
        <v>41</v>
      </c>
      <c r="C8" s="4" t="s">
        <v>42</v>
      </c>
      <c r="D8" s="10" t="s">
        <v>43</v>
      </c>
      <c r="E8" s="8">
        <v>1000</v>
      </c>
      <c r="F8" s="8">
        <v>20</v>
      </c>
      <c r="G8" s="8">
        <v>1020</v>
      </c>
      <c r="H8" s="4">
        <v>1</v>
      </c>
      <c r="I8" s="4">
        <v>1</v>
      </c>
      <c r="J8" s="8">
        <v>1220</v>
      </c>
      <c r="K8" s="4">
        <v>59.5</v>
      </c>
      <c r="L8" s="4">
        <v>24.5</v>
      </c>
      <c r="M8" s="4">
        <v>14.5</v>
      </c>
      <c r="N8" s="4">
        <v>21137.375</v>
      </c>
      <c r="O8" s="4">
        <v>5500</v>
      </c>
      <c r="P8" s="7">
        <f t="shared" ref="P8:P11" si="0">(O8+500)/1000</f>
        <v>6</v>
      </c>
      <c r="Q8" s="7">
        <v>4326.66666666667</v>
      </c>
    </row>
    <row r="9" ht="39" customHeight="1" spans="1:18">
      <c r="A9" s="3" t="s">
        <v>44</v>
      </c>
      <c r="B9" s="4" t="s">
        <v>45</v>
      </c>
      <c r="C9" s="4" t="s">
        <v>46</v>
      </c>
      <c r="D9" s="10" t="s">
        <v>47</v>
      </c>
      <c r="E9" s="8">
        <v>1400</v>
      </c>
      <c r="F9" s="8">
        <v>20</v>
      </c>
      <c r="G9" s="8">
        <v>1420</v>
      </c>
      <c r="H9" s="4">
        <v>1</v>
      </c>
      <c r="I9" s="4">
        <v>1</v>
      </c>
      <c r="J9" s="8">
        <v>1700</v>
      </c>
      <c r="K9" s="4">
        <v>59.5</v>
      </c>
      <c r="L9" s="4">
        <v>24.5</v>
      </c>
      <c r="M9" s="4">
        <v>14.5</v>
      </c>
      <c r="N9" s="4">
        <v>21137.375</v>
      </c>
      <c r="O9" s="4">
        <v>5500</v>
      </c>
      <c r="P9" s="7">
        <f t="shared" si="0"/>
        <v>6</v>
      </c>
      <c r="Q9" s="7">
        <v>5660</v>
      </c>
    </row>
    <row r="10" ht="39" customHeight="1" spans="1:18">
      <c r="A10" s="3" t="s">
        <v>48</v>
      </c>
      <c r="B10" s="4" t="s">
        <v>49</v>
      </c>
      <c r="C10" s="4" t="s">
        <v>50</v>
      </c>
      <c r="D10" s="10" t="s">
        <v>51</v>
      </c>
      <c r="E10" s="8">
        <v>1600</v>
      </c>
      <c r="F10" s="8">
        <v>20</v>
      </c>
      <c r="G10" s="8">
        <v>1620</v>
      </c>
      <c r="H10" s="4">
        <v>1</v>
      </c>
      <c r="I10" s="4">
        <v>1</v>
      </c>
      <c r="J10" s="8">
        <v>1940</v>
      </c>
      <c r="K10" s="4">
        <v>59.5</v>
      </c>
      <c r="L10" s="4">
        <v>24.5</v>
      </c>
      <c r="M10" s="4">
        <v>14.5</v>
      </c>
      <c r="N10" s="4">
        <v>21137.375</v>
      </c>
      <c r="O10" s="4">
        <v>9500</v>
      </c>
      <c r="P10" s="7">
        <f t="shared" si="0"/>
        <v>10</v>
      </c>
      <c r="Q10" s="7">
        <v>6926.66666666667</v>
      </c>
    </row>
    <row r="11" ht="39" customHeight="1" spans="1:18">
      <c r="A11" s="3" t="s">
        <v>52</v>
      </c>
      <c r="B11" s="4" t="s">
        <v>53</v>
      </c>
      <c r="C11" s="4" t="s">
        <v>54</v>
      </c>
      <c r="D11" s="10" t="s">
        <v>55</v>
      </c>
      <c r="E11" s="8">
        <v>2000</v>
      </c>
      <c r="F11" s="8">
        <v>20</v>
      </c>
      <c r="G11" s="8">
        <v>2020</v>
      </c>
      <c r="H11" s="4">
        <v>1</v>
      </c>
      <c r="I11" s="4">
        <v>1</v>
      </c>
      <c r="J11" s="8">
        <v>2420</v>
      </c>
      <c r="K11" s="4">
        <v>59.5</v>
      </c>
      <c r="L11" s="4">
        <v>24.5</v>
      </c>
      <c r="M11" s="4">
        <v>14.5</v>
      </c>
      <c r="N11" s="4">
        <v>21137.375</v>
      </c>
      <c r="O11" s="4">
        <v>9500</v>
      </c>
      <c r="P11" s="7">
        <f t="shared" si="0"/>
        <v>10</v>
      </c>
      <c r="Q11" s="7">
        <v>8260</v>
      </c>
    </row>
    <row r="12" ht="22.5" customHeight="1" spans="1:18">
      <c r="B12" s="1" t="s">
        <v>1</v>
      </c>
      <c r="C12" s="1" t="s">
        <v>38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2" t="s">
        <v>39</v>
      </c>
      <c r="Q12" s="2" t="s">
        <v>17</v>
      </c>
    </row>
    <row r="13" ht="22.5" customHeight="1" spans="1:18">
      <c r="B13" s="9" t="s">
        <v>56</v>
      </c>
      <c r="C13" s="9" t="s">
        <v>57</v>
      </c>
      <c r="K13" s="7">
        <v>36</v>
      </c>
      <c r="L13" s="7">
        <v>16</v>
      </c>
      <c r="M13" s="7">
        <v>11</v>
      </c>
      <c r="N13" s="7">
        <v>0.006336</v>
      </c>
      <c r="O13" s="7"/>
      <c r="P13" s="7">
        <v>1.3</v>
      </c>
      <c r="Q13" s="7">
        <v>821.666666666667</v>
      </c>
    </row>
    <row r="14" ht="22.5" customHeight="1" spans="1:18">
      <c r="B14" s="9" t="s">
        <v>58</v>
      </c>
      <c r="C14" s="9" t="s">
        <v>59</v>
      </c>
      <c r="K14" s="7">
        <v>30</v>
      </c>
      <c r="L14" s="7">
        <v>22</v>
      </c>
      <c r="M14" s="7">
        <v>7</v>
      </c>
      <c r="N14" s="7">
        <v>0.00462</v>
      </c>
      <c r="O14" s="7"/>
      <c r="P14" s="7">
        <v>2.1</v>
      </c>
      <c r="Q14" s="7">
        <v>1475</v>
      </c>
    </row>
    <row r="15" ht="22.5" customHeight="1" spans="1:18">
      <c r="B15" s="9" t="s">
        <v>60</v>
      </c>
      <c r="C15" s="9" t="s">
        <v>61</v>
      </c>
      <c r="K15" s="7">
        <v>69</v>
      </c>
      <c r="L15" s="7">
        <v>47</v>
      </c>
      <c r="M15" s="7">
        <v>43</v>
      </c>
      <c r="N15" s="7">
        <v>0.139449</v>
      </c>
      <c r="O15" s="7"/>
      <c r="P15" s="7">
        <v>8</v>
      </c>
      <c r="Q15" s="7">
        <v>3226.66666666667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表格_20260610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止于回忆の记忆</cp:lastModifiedBy>
  <dcterms:created xsi:type="dcterms:W3CDTF">2026-06-10T07:19:00Z</dcterms:created>
  <dcterms:modified xsi:type="dcterms:W3CDTF">2026-06-10T08:59:59Z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B99DA26C2E8B4D329A7898BCC9DB7917_13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